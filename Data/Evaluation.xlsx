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cf72c40caad020/Uni/Bachelorarbeit/"/>
    </mc:Choice>
  </mc:AlternateContent>
  <xr:revisionPtr revIDLastSave="198" documentId="8_{919975B3-E55C-4AD1-89E2-1B1044141A36}" xr6:coauthVersionLast="47" xr6:coauthVersionMax="47" xr10:uidLastSave="{4FA67F2C-D9C2-4EED-8CDE-8F5F15376AC8}"/>
  <bookViews>
    <workbookView xWindow="28680" yWindow="-120" windowWidth="29040" windowHeight="15720" activeTab="1" xr2:uid="{93A062C2-1B74-4154-82C8-C91624EBD5F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/>
  <c r="J8" i="2"/>
  <c r="I8" i="2"/>
  <c r="K4" i="2"/>
  <c r="J4" i="2"/>
  <c r="I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2" i="2"/>
  <c r="M8" i="1"/>
  <c r="L8" i="1"/>
  <c r="K8" i="1"/>
  <c r="J8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6" i="1"/>
  <c r="G4" i="1"/>
  <c r="G5" i="1"/>
  <c r="G6" i="1"/>
  <c r="G7" i="1"/>
  <c r="G12" i="1"/>
  <c r="G14" i="1"/>
  <c r="G16" i="1"/>
  <c r="G17" i="1"/>
  <c r="G2" i="1"/>
  <c r="F3" i="1"/>
  <c r="G3" i="1" s="1"/>
  <c r="F4" i="1"/>
  <c r="F5" i="1"/>
  <c r="F6" i="1"/>
  <c r="F7" i="1"/>
  <c r="F8" i="1"/>
  <c r="G8" i="1" s="1"/>
  <c r="F9" i="1"/>
  <c r="G9" i="1" s="1"/>
  <c r="F10" i="1"/>
  <c r="G10" i="1" s="1"/>
  <c r="F11" i="1"/>
  <c r="G11" i="1" s="1"/>
  <c r="F12" i="1"/>
  <c r="F13" i="1"/>
  <c r="G13" i="1" s="1"/>
  <c r="F14" i="1"/>
  <c r="F15" i="1"/>
  <c r="G15" i="1" s="1"/>
  <c r="F16" i="1"/>
  <c r="F17" i="1"/>
  <c r="F2" i="1"/>
  <c r="K4" i="1" l="1"/>
  <c r="L4" i="1"/>
  <c r="J4" i="1"/>
  <c r="L29" i="1"/>
  <c r="K29" i="1"/>
  <c r="J29" i="1"/>
</calcChain>
</file>

<file path=xl/sharedStrings.xml><?xml version="1.0" encoding="utf-8"?>
<sst xmlns="http://schemas.openxmlformats.org/spreadsheetml/2006/main" count="102" uniqueCount="85">
  <si>
    <t>A-metrics-based-look-at-disk-images--I_2025_Forensic-Science-International--.grobid.tei.xml</t>
  </si>
  <si>
    <t>A-scenario-based-quality-assessment-of-memory-_2025_Forensic-Science-Interna.grobid.tei.xml</t>
  </si>
  <si>
    <t>A-study-on-the-evolution-of-kernel-data-types-us_2025_Forensic-Science-Inter.grobid.tei.xml</t>
  </si>
  <si>
    <t>Beyond-Hamming-Distance--Exploring-spatia_2025_Forensic-Science-Internationa.grobid.tei.xml</t>
  </si>
  <si>
    <t>Beyond-the-dictionary-attack--Enhancing-password-_2025_Forensic-Science-Inte.grobid.tei.xml</t>
  </si>
  <si>
    <t>Forensic-analysis-of-Telegram-Messeng_2025_Forensic-Science-International--D.grobid.tei.xml</t>
  </si>
  <si>
    <t>ForensicLLM--A-local-large-language-mod_2025_Forensic-Science-International-.grobid.tei.xml</t>
  </si>
  <si>
    <t>PaSSw0rdVib3s---AI-assisted-password-recogn_2025_Forensic-Science-Internatio.grobid.tei.xml</t>
  </si>
  <si>
    <t>Preserving-meaning-of-evidence-from_2025_Forensic-Science-International--Dig.grobid.tei.xml</t>
  </si>
  <si>
    <t>Samsung-tracking-tag-application-forensi_2025_Forensic-Science-International.grobid.tei.xml</t>
  </si>
  <si>
    <t>SOLVE-IT--A-proposed-digital-forensic-knowl_2025_Forensic-Science-Internatio.grobid.tei.xml</t>
  </si>
  <si>
    <t>Tapping--IPAs--An-automated-analysis-of-iPh_2025_Forensic-Science-Internatio.grobid.tei.xml</t>
  </si>
  <si>
    <t>Tumbling-down-the-stairs--Exploiting-a-tumbler-s-a_2025_Forensic-Science-Int.grobid.tei.xml</t>
  </si>
  <si>
    <t>Unmixing-the-mix--Patterns-and-challenges_2025_Forensic-Science-Internationa.grobid.tei.xml</t>
  </si>
  <si>
    <t>Video-capturing-device-identification-thr_2025_Forensic-Science-Internationa.grobid.tei.xml</t>
  </si>
  <si>
    <t>When-is-logging-sufficient----Tracking-event-c_2025_Forensic-Science-Interna.grobid.tei.xml</t>
  </si>
  <si>
    <t>time:</t>
  </si>
  <si>
    <t>grobid:</t>
  </si>
  <si>
    <t>min</t>
  </si>
  <si>
    <t>max</t>
  </si>
  <si>
    <t>average</t>
  </si>
  <si>
    <t>An-extensible-and-scalable-system-for-hash-lookup_2025_Forensic-Science-Inte.grobid.tei.xml</t>
  </si>
  <si>
    <t>ANOC--Automated-NoSQL-databas_2025_Forensic-Science-International--Digital-I.grobid.tei.xml</t>
  </si>
  <si>
    <t>Bridging-knowledge-gaps-in-digital-forensi_2025_Forensic-Science-Internation.grobid.tei.xml</t>
  </si>
  <si>
    <t>Bytewise-approximate-matching--Evaluating-_2025_Forensic-Science-Internation.grobid.tei.xml</t>
  </si>
  <si>
    <t>Detecting-hidden-kernel-modules-in-_2025_Forensic-Science-International--Dig.grobid.tei.xml</t>
  </si>
  <si>
    <t>Enhancing-DFIR-in-orchestration-Environments--_2025_Forensic-Science-Interna.grobid.tei.xml</t>
  </si>
  <si>
    <t>Exploiting-database-storage-for-da_2025_Forensic-Science-International--Digi.grobid.tei.xml</t>
  </si>
  <si>
    <t>Forensic-recovery-via-chip-transplantat_2025_Forensic-Science-International-.grobid.tei.xml</t>
  </si>
  <si>
    <t>If-at-first-you-don-t-succeed--trie--trie-again--_2025_Forensic-Science-Inte.grobid.tei.xml</t>
  </si>
  <si>
    <t>Improved-Bitcoin-simulation-model-and-_2025_Forensic-Science-International--.grobid.tei.xml</t>
  </si>
  <si>
    <t>Leveraging-memory-forensics-to-investigate-_2025_Forensic-Science-Internatio.grobid.tei.xml</t>
  </si>
  <si>
    <t>Memory-Analysis-of-the-Python-Runt_2025_Forensic-Science-International--Digi.grobid.tei.xml</t>
  </si>
  <si>
    <t>Out-of-Control--Igniting-SCADA-investigations-with-_2025_Forensic-Science-In.grobid.tei.xml</t>
  </si>
  <si>
    <t>SoK--Timeline-based-event-reconstruction-for-dig_2025_Forensic-Science-Inter.grobid.tei.xml</t>
  </si>
  <si>
    <t>Uncovering-linux-desktop-esp_2025_Forensic-Science-International--Digital-In.grobid.tei.xml</t>
  </si>
  <si>
    <t>Your-forensic-AI-assistant--SERENA--Systematic-e_2025_Forensic-Science-Inter.grobid.tei.xml</t>
  </si>
  <si>
    <t>826.99s</t>
  </si>
  <si>
    <t>43.47s</t>
  </si>
  <si>
    <t>42.56s</t>
  </si>
  <si>
    <t>677.35 s</t>
  </si>
  <si>
    <t>Referenzen</t>
  </si>
  <si>
    <t>Links</t>
  </si>
  <si>
    <t>not verifiziert</t>
  </si>
  <si>
    <t>OpenAlex</t>
  </si>
  <si>
    <t>total</t>
  </si>
  <si>
    <t>anomalies</t>
  </si>
  <si>
    <t>verified</t>
  </si>
  <si>
    <t>links</t>
  </si>
  <si>
    <t>not found but existing</t>
  </si>
  <si>
    <t>falsch vom pdf</t>
  </si>
  <si>
    <t>falsch wegen zusätzlichen titeln</t>
  </si>
  <si>
    <t>nicht gefunden</t>
  </si>
  <si>
    <t>orange</t>
  </si>
  <si>
    <t>nicht gefunden obwohl sollte</t>
  </si>
  <si>
    <t>blau</t>
  </si>
  <si>
    <t>falsch vom author?</t>
  </si>
  <si>
    <t>falsch wegen anzahl authoren</t>
  </si>
  <si>
    <t>gelb</t>
  </si>
  <si>
    <t>01_machine_learning.grobid.tei.xml</t>
  </si>
  <si>
    <t>02_it_security.grobid.tei.xml</t>
  </si>
  <si>
    <t>03_databases.grobid.tei.xml</t>
  </si>
  <si>
    <t>04_distributed_systems.grobid.tei.xml</t>
  </si>
  <si>
    <t>05_computer_graphics.grobid.tei.xml</t>
  </si>
  <si>
    <t>06_compiler_design.grobid.tei.xml</t>
  </si>
  <si>
    <t>07_embedded_systems.grobid.tei.xml</t>
  </si>
  <si>
    <t>08_bioinformatics.grobid.tei.xml</t>
  </si>
  <si>
    <t>09_robotics.grobid.tei.xml</t>
  </si>
  <si>
    <t>10_formal_methods.grobid.tei.xml</t>
  </si>
  <si>
    <t>11_information_retrieval.grobid.tei.xml</t>
  </si>
  <si>
    <t>12_cloud_computing.grobid.tei.xml</t>
  </si>
  <si>
    <t>13_digital_signal_processing.grobid.tei.xml</t>
  </si>
  <si>
    <t>14_quantum_computing.grobid.tei.xml</t>
  </si>
  <si>
    <t>15_game_development.grobid.tei.xml</t>
  </si>
  <si>
    <t>16_health_informatics.grobid.tei.xml</t>
  </si>
  <si>
    <t>falsch wegen zusatz</t>
  </si>
  <si>
    <t>quelle nicht gefunden</t>
  </si>
  <si>
    <t>falsch zitiert</t>
  </si>
  <si>
    <t>komisch aber existing</t>
  </si>
  <si>
    <t>lila</t>
  </si>
  <si>
    <t>grün/blau</t>
  </si>
  <si>
    <t>grobid</t>
  </si>
  <si>
    <t>16.09 s</t>
  </si>
  <si>
    <t>time</t>
  </si>
  <si>
    <t>469.63s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</si>
</sst>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DB52-1356-40DE-AC40-5AF989B74A3D}">
  <dimension ref="A1:M48"/>
  <sheetViews>
    <sheetView workbookViewId="0">
      <selection activeCell="M8" sqref="M8"/>
    </sheetView>
  </sheetViews>
  <sheetFormatPr baseColWidth="10" defaultRowHeight="15" x14ac:dyDescent="0.25"/>
  <cols>
    <col min="1" max="1" width="102.85546875" customWidth="1"/>
    <col min="3" max="3" width="13.5703125" customWidth="1"/>
  </cols>
  <sheetData>
    <row r="1" spans="1:13" x14ac:dyDescent="0.25">
      <c r="B1" t="s">
        <v>41</v>
      </c>
      <c r="C1" t="s">
        <v>43</v>
      </c>
      <c r="D1" t="s">
        <v>42</v>
      </c>
      <c r="E1" t="s">
        <v>44</v>
      </c>
    </row>
    <row r="2" spans="1:13" x14ac:dyDescent="0.25">
      <c r="A2" t="s">
        <v>0</v>
      </c>
      <c r="B2">
        <v>34</v>
      </c>
      <c r="C2">
        <v>2</v>
      </c>
      <c r="D2">
        <v>10</v>
      </c>
      <c r="E2">
        <v>1</v>
      </c>
      <c r="F2">
        <f xml:space="preserve"> B2-D2</f>
        <v>24</v>
      </c>
      <c r="G2">
        <f>C2/F2</f>
        <v>8.3333333333333329E-2</v>
      </c>
    </row>
    <row r="3" spans="1:13" ht="15.75" x14ac:dyDescent="0.25">
      <c r="A3" s="1" t="s">
        <v>1</v>
      </c>
      <c r="B3">
        <v>41</v>
      </c>
      <c r="C3">
        <v>2</v>
      </c>
      <c r="D3">
        <v>8</v>
      </c>
      <c r="E3">
        <v>5</v>
      </c>
      <c r="F3">
        <f t="shared" ref="F3:F17" si="0" xml:space="preserve"> B3-D3</f>
        <v>33</v>
      </c>
      <c r="G3">
        <f t="shared" ref="G3:G17" si="1">C3/F3</f>
        <v>6.0606060606060608E-2</v>
      </c>
      <c r="J3" t="s">
        <v>18</v>
      </c>
      <c r="K3" t="s">
        <v>19</v>
      </c>
      <c r="L3" t="s">
        <v>20</v>
      </c>
    </row>
    <row r="4" spans="1:13" ht="15.75" x14ac:dyDescent="0.25">
      <c r="A4" s="1" t="s">
        <v>2</v>
      </c>
      <c r="B4">
        <v>25</v>
      </c>
      <c r="C4">
        <v>1</v>
      </c>
      <c r="D4">
        <v>13</v>
      </c>
      <c r="E4">
        <v>1</v>
      </c>
      <c r="F4">
        <f t="shared" si="0"/>
        <v>12</v>
      </c>
      <c r="G4">
        <f t="shared" si="1"/>
        <v>8.3333333333333329E-2</v>
      </c>
      <c r="J4">
        <f>MIN(G2:G17)</f>
        <v>0</v>
      </c>
      <c r="K4">
        <f>MAX(G2:G17)</f>
        <v>0.375</v>
      </c>
      <c r="L4">
        <f>AVERAGE(G2:G17)</f>
        <v>0.14844539515989155</v>
      </c>
    </row>
    <row r="5" spans="1:13" ht="15.75" x14ac:dyDescent="0.25">
      <c r="A5" s="1" t="s">
        <v>3</v>
      </c>
      <c r="B5">
        <v>24</v>
      </c>
      <c r="C5">
        <v>4</v>
      </c>
      <c r="D5">
        <v>4</v>
      </c>
      <c r="E5">
        <v>1</v>
      </c>
      <c r="F5">
        <f t="shared" si="0"/>
        <v>20</v>
      </c>
      <c r="G5">
        <f t="shared" si="1"/>
        <v>0.2</v>
      </c>
    </row>
    <row r="6" spans="1:13" ht="15.75" x14ac:dyDescent="0.25">
      <c r="A6" s="1" t="s">
        <v>4</v>
      </c>
      <c r="B6">
        <v>37</v>
      </c>
      <c r="C6">
        <v>5</v>
      </c>
      <c r="D6">
        <v>8</v>
      </c>
      <c r="E6">
        <v>4</v>
      </c>
      <c r="F6">
        <f t="shared" si="0"/>
        <v>29</v>
      </c>
      <c r="G6">
        <f t="shared" si="1"/>
        <v>0.17241379310344829</v>
      </c>
    </row>
    <row r="7" spans="1:13" ht="15.75" x14ac:dyDescent="0.25">
      <c r="A7" s="1" t="s">
        <v>5</v>
      </c>
      <c r="B7">
        <v>22</v>
      </c>
      <c r="C7">
        <v>3</v>
      </c>
      <c r="D7">
        <v>7</v>
      </c>
      <c r="E7">
        <v>0</v>
      </c>
      <c r="F7">
        <f t="shared" si="0"/>
        <v>15</v>
      </c>
      <c r="G7">
        <f t="shared" si="1"/>
        <v>0.2</v>
      </c>
      <c r="J7" t="s">
        <v>45</v>
      </c>
      <c r="K7" t="s">
        <v>46</v>
      </c>
      <c r="L7" t="s">
        <v>48</v>
      </c>
      <c r="M7" t="s">
        <v>47</v>
      </c>
    </row>
    <row r="8" spans="1:13" ht="15.75" x14ac:dyDescent="0.25">
      <c r="A8" s="1" t="s">
        <v>6</v>
      </c>
      <c r="B8">
        <v>33</v>
      </c>
      <c r="C8">
        <v>5</v>
      </c>
      <c r="D8">
        <v>4</v>
      </c>
      <c r="E8">
        <v>10</v>
      </c>
      <c r="F8">
        <f t="shared" si="0"/>
        <v>29</v>
      </c>
      <c r="G8">
        <f t="shared" si="1"/>
        <v>0.17241379310344829</v>
      </c>
      <c r="J8">
        <f>SUM(B2:B17)</f>
        <v>534</v>
      </c>
      <c r="K8">
        <f>SUM(C2:C17)</f>
        <v>55</v>
      </c>
      <c r="L8">
        <f>SUM(D2:D17)</f>
        <v>151</v>
      </c>
      <c r="M8">
        <f>J8-K8-L8</f>
        <v>328</v>
      </c>
    </row>
    <row r="9" spans="1:13" ht="15.75" x14ac:dyDescent="0.25">
      <c r="A9" s="1" t="s">
        <v>7</v>
      </c>
      <c r="B9">
        <v>33</v>
      </c>
      <c r="C9">
        <v>4</v>
      </c>
      <c r="D9">
        <v>11</v>
      </c>
      <c r="E9">
        <v>2</v>
      </c>
      <c r="F9">
        <f t="shared" si="0"/>
        <v>22</v>
      </c>
      <c r="G9">
        <f t="shared" si="1"/>
        <v>0.18181818181818182</v>
      </c>
    </row>
    <row r="10" spans="1:13" ht="15.75" x14ac:dyDescent="0.25">
      <c r="A10" s="1" t="s">
        <v>8</v>
      </c>
      <c r="B10">
        <v>43</v>
      </c>
      <c r="C10">
        <v>9</v>
      </c>
      <c r="D10">
        <v>4</v>
      </c>
      <c r="E10">
        <v>4</v>
      </c>
      <c r="F10">
        <f t="shared" si="0"/>
        <v>39</v>
      </c>
      <c r="G10">
        <f t="shared" si="1"/>
        <v>0.23076923076923078</v>
      </c>
    </row>
    <row r="11" spans="1:13" ht="15.75" x14ac:dyDescent="0.25">
      <c r="A11" s="1" t="s">
        <v>9</v>
      </c>
      <c r="B11">
        <v>25</v>
      </c>
      <c r="C11">
        <v>3</v>
      </c>
      <c r="D11">
        <v>17</v>
      </c>
      <c r="E11">
        <v>0</v>
      </c>
      <c r="F11">
        <f t="shared" si="0"/>
        <v>8</v>
      </c>
      <c r="G11">
        <f t="shared" si="1"/>
        <v>0.375</v>
      </c>
    </row>
    <row r="12" spans="1:13" ht="15.75" x14ac:dyDescent="0.25">
      <c r="A12" s="1" t="s">
        <v>10</v>
      </c>
      <c r="B12">
        <v>75</v>
      </c>
      <c r="C12">
        <v>7</v>
      </c>
      <c r="D12">
        <v>18</v>
      </c>
      <c r="E12">
        <v>7</v>
      </c>
      <c r="F12">
        <f t="shared" si="0"/>
        <v>57</v>
      </c>
      <c r="G12">
        <f t="shared" si="1"/>
        <v>0.12280701754385964</v>
      </c>
      <c r="J12" t="s">
        <v>49</v>
      </c>
      <c r="M12" t="s">
        <v>50</v>
      </c>
    </row>
    <row r="13" spans="1:13" ht="15.75" x14ac:dyDescent="0.25">
      <c r="A13" s="1" t="s">
        <v>11</v>
      </c>
      <c r="B13">
        <v>53</v>
      </c>
      <c r="C13">
        <v>6</v>
      </c>
      <c r="D13">
        <v>28</v>
      </c>
      <c r="E13">
        <v>8</v>
      </c>
      <c r="F13">
        <f t="shared" si="0"/>
        <v>25</v>
      </c>
      <c r="G13">
        <f>C13/F13</f>
        <v>0.24</v>
      </c>
      <c r="J13">
        <v>34</v>
      </c>
      <c r="M13">
        <v>9</v>
      </c>
    </row>
    <row r="14" spans="1:13" ht="15.75" x14ac:dyDescent="0.25">
      <c r="A14" s="1" t="s">
        <v>12</v>
      </c>
      <c r="B14">
        <v>16</v>
      </c>
      <c r="C14">
        <v>0</v>
      </c>
      <c r="D14">
        <v>6</v>
      </c>
      <c r="E14">
        <v>0</v>
      </c>
      <c r="F14">
        <f t="shared" si="0"/>
        <v>10</v>
      </c>
      <c r="G14">
        <f t="shared" si="1"/>
        <v>0</v>
      </c>
    </row>
    <row r="15" spans="1:13" ht="15.75" x14ac:dyDescent="0.25">
      <c r="A15" s="1" t="s">
        <v>13</v>
      </c>
      <c r="B15">
        <v>23</v>
      </c>
      <c r="C15">
        <v>3</v>
      </c>
      <c r="D15">
        <v>8</v>
      </c>
      <c r="E15">
        <v>0</v>
      </c>
      <c r="F15">
        <f t="shared" si="0"/>
        <v>15</v>
      </c>
      <c r="G15">
        <f t="shared" si="1"/>
        <v>0.2</v>
      </c>
      <c r="J15" t="s">
        <v>51</v>
      </c>
      <c r="M15" t="s">
        <v>52</v>
      </c>
    </row>
    <row r="16" spans="1:13" ht="15.75" x14ac:dyDescent="0.25">
      <c r="A16" s="1" t="s">
        <v>14</v>
      </c>
      <c r="B16">
        <v>19</v>
      </c>
      <c r="C16">
        <v>1</v>
      </c>
      <c r="D16">
        <v>0</v>
      </c>
      <c r="E16">
        <v>0</v>
      </c>
      <c r="F16">
        <f t="shared" si="0"/>
        <v>19</v>
      </c>
      <c r="G16">
        <f t="shared" si="1"/>
        <v>5.2631578947368418E-2</v>
      </c>
      <c r="J16">
        <v>4</v>
      </c>
      <c r="M16">
        <v>4</v>
      </c>
    </row>
    <row r="17" spans="1:13" ht="15.75" x14ac:dyDescent="0.25">
      <c r="A17" s="1" t="s">
        <v>15</v>
      </c>
      <c r="B17">
        <v>31</v>
      </c>
      <c r="C17">
        <v>0</v>
      </c>
      <c r="D17">
        <v>5</v>
      </c>
      <c r="E17">
        <v>1</v>
      </c>
      <c r="F17">
        <f t="shared" si="0"/>
        <v>26</v>
      </c>
      <c r="G17">
        <f t="shared" si="1"/>
        <v>0</v>
      </c>
    </row>
    <row r="18" spans="1:13" x14ac:dyDescent="0.25">
      <c r="J18" t="s">
        <v>54</v>
      </c>
      <c r="M18" t="s">
        <v>56</v>
      </c>
    </row>
    <row r="19" spans="1:13" x14ac:dyDescent="0.25">
      <c r="J19">
        <v>1</v>
      </c>
      <c r="M19">
        <v>1</v>
      </c>
    </row>
    <row r="20" spans="1:13" x14ac:dyDescent="0.25">
      <c r="B20" t="s">
        <v>16</v>
      </c>
      <c r="C20" t="s">
        <v>40</v>
      </c>
    </row>
    <row r="21" spans="1:13" x14ac:dyDescent="0.25">
      <c r="J21" t="s">
        <v>57</v>
      </c>
    </row>
    <row r="22" spans="1:13" x14ac:dyDescent="0.25">
      <c r="B22" t="s">
        <v>17</v>
      </c>
      <c r="C22" t="s">
        <v>39</v>
      </c>
      <c r="J22">
        <v>2</v>
      </c>
    </row>
    <row r="26" spans="1:13" ht="15.75" x14ac:dyDescent="0.25">
      <c r="A26" s="1" t="s">
        <v>21</v>
      </c>
      <c r="B26">
        <v>34</v>
      </c>
      <c r="C26">
        <v>3</v>
      </c>
      <c r="D26">
        <v>4</v>
      </c>
      <c r="F26">
        <f>B26-D26</f>
        <v>30</v>
      </c>
      <c r="G26">
        <f>C26/F26</f>
        <v>0.1</v>
      </c>
    </row>
    <row r="27" spans="1:13" ht="15.75" x14ac:dyDescent="0.25">
      <c r="A27" s="1" t="s">
        <v>22</v>
      </c>
      <c r="B27">
        <v>37</v>
      </c>
      <c r="C27">
        <v>5</v>
      </c>
      <c r="D27">
        <v>10</v>
      </c>
      <c r="F27">
        <f t="shared" ref="F27:F41" si="2">B27-D27</f>
        <v>27</v>
      </c>
      <c r="G27">
        <f t="shared" ref="G27:G41" si="3">C27/F27</f>
        <v>0.18518518518518517</v>
      </c>
    </row>
    <row r="28" spans="1:13" ht="15.75" x14ac:dyDescent="0.25">
      <c r="A28" s="1" t="s">
        <v>23</v>
      </c>
      <c r="B28">
        <v>17</v>
      </c>
      <c r="C28">
        <v>4</v>
      </c>
      <c r="D28">
        <v>0</v>
      </c>
      <c r="F28">
        <f t="shared" si="2"/>
        <v>17</v>
      </c>
      <c r="G28">
        <f t="shared" si="3"/>
        <v>0.23529411764705882</v>
      </c>
      <c r="J28" t="s">
        <v>18</v>
      </c>
      <c r="K28" t="s">
        <v>19</v>
      </c>
      <c r="L28" t="s">
        <v>20</v>
      </c>
    </row>
    <row r="29" spans="1:13" ht="15.75" x14ac:dyDescent="0.25">
      <c r="A29" s="1" t="s">
        <v>24</v>
      </c>
      <c r="B29">
        <v>35</v>
      </c>
      <c r="C29">
        <v>3</v>
      </c>
      <c r="D29">
        <v>6</v>
      </c>
      <c r="F29">
        <f t="shared" si="2"/>
        <v>29</v>
      </c>
      <c r="G29">
        <f t="shared" si="3"/>
        <v>0.10344827586206896</v>
      </c>
      <c r="J29">
        <f>MIN(G26:G41)</f>
        <v>0</v>
      </c>
      <c r="K29">
        <f>MAX(G26:G41)</f>
        <v>0.77777777777777779</v>
      </c>
      <c r="L29">
        <f>AVERAGE(G26:G41)</f>
        <v>0.17724356808965241</v>
      </c>
    </row>
    <row r="30" spans="1:13" ht="15.75" x14ac:dyDescent="0.25">
      <c r="A30" s="1" t="s">
        <v>25</v>
      </c>
      <c r="B30">
        <v>21</v>
      </c>
      <c r="C30">
        <v>4</v>
      </c>
      <c r="D30">
        <v>6</v>
      </c>
      <c r="F30">
        <f t="shared" si="2"/>
        <v>15</v>
      </c>
      <c r="G30">
        <f t="shared" si="3"/>
        <v>0.26666666666666666</v>
      </c>
    </row>
    <row r="31" spans="1:13" ht="15.75" x14ac:dyDescent="0.25">
      <c r="A31" s="1" t="s">
        <v>26</v>
      </c>
      <c r="B31">
        <v>34</v>
      </c>
      <c r="C31">
        <v>7</v>
      </c>
      <c r="D31">
        <v>25</v>
      </c>
      <c r="F31">
        <f t="shared" si="2"/>
        <v>9</v>
      </c>
      <c r="G31">
        <f t="shared" si="3"/>
        <v>0.77777777777777779</v>
      </c>
    </row>
    <row r="32" spans="1:13" ht="15.75" x14ac:dyDescent="0.25">
      <c r="A32" s="1" t="s">
        <v>27</v>
      </c>
      <c r="B32">
        <v>34</v>
      </c>
      <c r="C32">
        <v>10</v>
      </c>
      <c r="D32">
        <v>5</v>
      </c>
      <c r="F32">
        <f t="shared" si="2"/>
        <v>29</v>
      </c>
      <c r="G32">
        <f t="shared" si="3"/>
        <v>0.34482758620689657</v>
      </c>
    </row>
    <row r="33" spans="1:7" ht="15.75" x14ac:dyDescent="0.25">
      <c r="A33" s="1" t="s">
        <v>28</v>
      </c>
      <c r="B33">
        <v>26</v>
      </c>
      <c r="C33">
        <v>0</v>
      </c>
      <c r="D33">
        <v>10</v>
      </c>
      <c r="F33">
        <f t="shared" si="2"/>
        <v>16</v>
      </c>
      <c r="G33">
        <f t="shared" si="3"/>
        <v>0</v>
      </c>
    </row>
    <row r="34" spans="1:7" ht="15.75" x14ac:dyDescent="0.25">
      <c r="A34" s="1" t="s">
        <v>29</v>
      </c>
      <c r="B34">
        <v>40</v>
      </c>
      <c r="C34">
        <v>0</v>
      </c>
      <c r="D34">
        <v>14</v>
      </c>
      <c r="F34">
        <f t="shared" si="2"/>
        <v>26</v>
      </c>
      <c r="G34">
        <f t="shared" si="3"/>
        <v>0</v>
      </c>
    </row>
    <row r="35" spans="1:7" ht="15.75" x14ac:dyDescent="0.25">
      <c r="A35" s="1" t="s">
        <v>30</v>
      </c>
      <c r="B35">
        <v>49</v>
      </c>
      <c r="C35">
        <v>4</v>
      </c>
      <c r="D35">
        <v>12</v>
      </c>
      <c r="F35">
        <f t="shared" si="2"/>
        <v>37</v>
      </c>
      <c r="G35">
        <f t="shared" si="3"/>
        <v>0.10810810810810811</v>
      </c>
    </row>
    <row r="36" spans="1:7" ht="15.75" x14ac:dyDescent="0.25">
      <c r="A36" s="1" t="s">
        <v>31</v>
      </c>
      <c r="B36">
        <v>41</v>
      </c>
      <c r="C36">
        <v>4</v>
      </c>
      <c r="D36">
        <v>16</v>
      </c>
      <c r="F36">
        <f t="shared" si="2"/>
        <v>25</v>
      </c>
      <c r="G36">
        <f t="shared" si="3"/>
        <v>0.16</v>
      </c>
    </row>
    <row r="37" spans="1:7" ht="15.75" x14ac:dyDescent="0.25">
      <c r="A37" s="1" t="s">
        <v>32</v>
      </c>
      <c r="B37">
        <v>39</v>
      </c>
      <c r="C37">
        <v>4</v>
      </c>
      <c r="D37">
        <v>24</v>
      </c>
      <c r="F37">
        <f t="shared" si="2"/>
        <v>15</v>
      </c>
      <c r="G37">
        <f t="shared" si="3"/>
        <v>0.26666666666666666</v>
      </c>
    </row>
    <row r="38" spans="1:7" ht="15.75" x14ac:dyDescent="0.25">
      <c r="A38" s="1" t="s">
        <v>33</v>
      </c>
      <c r="B38">
        <v>23</v>
      </c>
      <c r="C38">
        <v>1</v>
      </c>
      <c r="D38">
        <v>0</v>
      </c>
      <c r="F38">
        <f t="shared" si="2"/>
        <v>23</v>
      </c>
      <c r="G38">
        <f t="shared" si="3"/>
        <v>4.3478260869565216E-2</v>
      </c>
    </row>
    <row r="39" spans="1:7" ht="15.75" x14ac:dyDescent="0.25">
      <c r="A39" s="1" t="s">
        <v>34</v>
      </c>
      <c r="B39">
        <v>145</v>
      </c>
      <c r="C39">
        <v>12</v>
      </c>
      <c r="D39">
        <v>5</v>
      </c>
      <c r="F39">
        <f t="shared" si="2"/>
        <v>140</v>
      </c>
      <c r="G39">
        <f t="shared" si="3"/>
        <v>8.5714285714285715E-2</v>
      </c>
    </row>
    <row r="40" spans="1:7" ht="15.75" x14ac:dyDescent="0.25">
      <c r="A40" s="1" t="s">
        <v>35</v>
      </c>
      <c r="B40">
        <v>33</v>
      </c>
      <c r="C40">
        <v>2</v>
      </c>
      <c r="D40">
        <v>15</v>
      </c>
      <c r="F40">
        <f t="shared" si="2"/>
        <v>18</v>
      </c>
      <c r="G40">
        <f t="shared" si="3"/>
        <v>0.1111111111111111</v>
      </c>
    </row>
    <row r="41" spans="1:7" ht="15.75" x14ac:dyDescent="0.25">
      <c r="A41" s="1" t="s">
        <v>36</v>
      </c>
      <c r="B41">
        <v>24</v>
      </c>
      <c r="C41">
        <v>1</v>
      </c>
      <c r="D41">
        <v>3</v>
      </c>
      <c r="F41">
        <f t="shared" si="2"/>
        <v>21</v>
      </c>
      <c r="G41">
        <f t="shared" si="3"/>
        <v>4.7619047619047616E-2</v>
      </c>
    </row>
    <row r="46" spans="1:7" x14ac:dyDescent="0.25">
      <c r="B46" t="s">
        <v>16</v>
      </c>
      <c r="C46" t="s">
        <v>37</v>
      </c>
    </row>
    <row r="48" spans="1:7" x14ac:dyDescent="0.25">
      <c r="B48" t="s">
        <v>17</v>
      </c>
      <c r="C48" t="s">
        <v>38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B054-615A-4712-8774-FF36998FE4AE}">
  <dimension ref="A1:P22"/>
  <sheetViews>
    <sheetView tabSelected="1" topLeftCell="A6" workbookViewId="0">
      <selection activeCell="F25" sqref="F25"/>
    </sheetView>
  </sheetViews>
  <sheetFormatPr baseColWidth="10" defaultRowHeight="15" x14ac:dyDescent="0.25"/>
  <cols>
    <col min="1" max="1" width="36.7109375" customWidth="1"/>
  </cols>
  <sheetData>
    <row r="1" spans="1:16" x14ac:dyDescent="0.25">
      <c r="B1" t="s">
        <v>41</v>
      </c>
      <c r="C1" t="s">
        <v>43</v>
      </c>
      <c r="D1" t="s">
        <v>42</v>
      </c>
      <c r="E1" t="s">
        <v>44</v>
      </c>
    </row>
    <row r="2" spans="1:16" ht="15.75" x14ac:dyDescent="0.25">
      <c r="A2" s="1" t="s">
        <v>59</v>
      </c>
      <c r="B2">
        <v>17</v>
      </c>
      <c r="C2">
        <v>5</v>
      </c>
      <c r="D2">
        <v>0</v>
      </c>
      <c r="E2">
        <v>5</v>
      </c>
      <c r="F2">
        <f>B2-D2</f>
        <v>17</v>
      </c>
      <c r="G2">
        <f>C2/F2</f>
        <v>0.29411764705882354</v>
      </c>
    </row>
    <row r="3" spans="1:16" ht="15.75" x14ac:dyDescent="0.25">
      <c r="A3" s="1" t="s">
        <v>60</v>
      </c>
      <c r="B3">
        <v>16</v>
      </c>
      <c r="C3">
        <v>12</v>
      </c>
      <c r="D3">
        <v>0</v>
      </c>
      <c r="E3">
        <v>2</v>
      </c>
      <c r="F3">
        <f t="shared" ref="F3:F17" si="0">B3-D3</f>
        <v>16</v>
      </c>
      <c r="G3">
        <f t="shared" ref="G3:G17" si="1">C3/F3</f>
        <v>0.75</v>
      </c>
      <c r="I3" t="s">
        <v>18</v>
      </c>
      <c r="J3" t="s">
        <v>19</v>
      </c>
      <c r="K3" t="s">
        <v>20</v>
      </c>
    </row>
    <row r="4" spans="1:16" x14ac:dyDescent="0.25">
      <c r="A4" t="s">
        <v>61</v>
      </c>
      <c r="B4">
        <v>16</v>
      </c>
      <c r="C4">
        <v>6</v>
      </c>
      <c r="D4">
        <v>0</v>
      </c>
      <c r="E4">
        <v>5</v>
      </c>
      <c r="F4">
        <f t="shared" si="0"/>
        <v>16</v>
      </c>
      <c r="G4">
        <f t="shared" si="1"/>
        <v>0.375</v>
      </c>
      <c r="I4">
        <f>MIN(G2:G17)</f>
        <v>0.14285714285714285</v>
      </c>
      <c r="J4">
        <f>MAX(G2:G17)</f>
        <v>0.75</v>
      </c>
      <c r="K4">
        <f>AVERAGE(G2:G17)</f>
        <v>0.43243687990930646</v>
      </c>
    </row>
    <row r="5" spans="1:16" ht="15.75" x14ac:dyDescent="0.25">
      <c r="A5" s="1" t="s">
        <v>62</v>
      </c>
      <c r="B5">
        <v>16</v>
      </c>
      <c r="C5">
        <v>6</v>
      </c>
      <c r="D5">
        <v>0</v>
      </c>
      <c r="E5">
        <v>6</v>
      </c>
      <c r="F5">
        <f t="shared" si="0"/>
        <v>16</v>
      </c>
      <c r="G5">
        <f t="shared" si="1"/>
        <v>0.375</v>
      </c>
    </row>
    <row r="6" spans="1:16" ht="15.75" x14ac:dyDescent="0.25">
      <c r="A6" s="1" t="s">
        <v>63</v>
      </c>
      <c r="B6">
        <v>16</v>
      </c>
      <c r="C6">
        <v>3</v>
      </c>
      <c r="D6">
        <v>0</v>
      </c>
      <c r="E6">
        <v>6</v>
      </c>
      <c r="F6">
        <f t="shared" si="0"/>
        <v>16</v>
      </c>
      <c r="G6">
        <f t="shared" si="1"/>
        <v>0.1875</v>
      </c>
    </row>
    <row r="7" spans="1:16" ht="15.75" x14ac:dyDescent="0.25">
      <c r="A7" s="1" t="s">
        <v>64</v>
      </c>
      <c r="B7">
        <v>17</v>
      </c>
      <c r="C7">
        <v>7</v>
      </c>
      <c r="D7">
        <v>0</v>
      </c>
      <c r="E7">
        <v>5</v>
      </c>
      <c r="F7">
        <f t="shared" si="0"/>
        <v>17</v>
      </c>
      <c r="G7">
        <f t="shared" si="1"/>
        <v>0.41176470588235292</v>
      </c>
      <c r="I7" t="s">
        <v>45</v>
      </c>
      <c r="J7" t="s">
        <v>46</v>
      </c>
      <c r="K7" t="s">
        <v>47</v>
      </c>
    </row>
    <row r="8" spans="1:16" ht="15.75" x14ac:dyDescent="0.25">
      <c r="A8" s="1" t="s">
        <v>65</v>
      </c>
      <c r="B8">
        <v>11</v>
      </c>
      <c r="C8">
        <v>5</v>
      </c>
      <c r="D8">
        <v>0</v>
      </c>
      <c r="E8">
        <v>5</v>
      </c>
      <c r="F8">
        <f t="shared" si="0"/>
        <v>11</v>
      </c>
      <c r="G8">
        <f t="shared" si="1"/>
        <v>0.45454545454545453</v>
      </c>
      <c r="I8">
        <f>SUM(B2:B17)</f>
        <v>238</v>
      </c>
      <c r="J8">
        <f>SUM(C2:C17)</f>
        <v>103</v>
      </c>
      <c r="K8">
        <f>I8-J8</f>
        <v>135</v>
      </c>
    </row>
    <row r="9" spans="1:16" ht="15.75" x14ac:dyDescent="0.25">
      <c r="A9" s="1" t="s">
        <v>66</v>
      </c>
      <c r="B9">
        <v>15</v>
      </c>
      <c r="C9">
        <v>7</v>
      </c>
      <c r="D9">
        <v>0</v>
      </c>
      <c r="E9">
        <v>1</v>
      </c>
      <c r="F9">
        <f t="shared" si="0"/>
        <v>15</v>
      </c>
      <c r="G9">
        <f t="shared" si="1"/>
        <v>0.46666666666666667</v>
      </c>
    </row>
    <row r="10" spans="1:16" ht="15.75" x14ac:dyDescent="0.25">
      <c r="A10" s="1" t="s">
        <v>67</v>
      </c>
      <c r="B10">
        <v>15</v>
      </c>
      <c r="C10">
        <v>8</v>
      </c>
      <c r="D10">
        <v>0</v>
      </c>
      <c r="E10">
        <v>3</v>
      </c>
      <c r="F10">
        <f t="shared" si="0"/>
        <v>15</v>
      </c>
      <c r="G10">
        <f t="shared" si="1"/>
        <v>0.53333333333333333</v>
      </c>
    </row>
    <row r="11" spans="1:16" ht="15.75" x14ac:dyDescent="0.25">
      <c r="A11" s="1" t="s">
        <v>68</v>
      </c>
      <c r="B11">
        <v>15</v>
      </c>
      <c r="C11">
        <v>5</v>
      </c>
      <c r="D11">
        <v>0</v>
      </c>
      <c r="E11">
        <v>2</v>
      </c>
      <c r="F11">
        <f t="shared" si="0"/>
        <v>15</v>
      </c>
      <c r="G11">
        <f t="shared" si="1"/>
        <v>0.33333333333333331</v>
      </c>
    </row>
    <row r="12" spans="1:16" ht="15.75" x14ac:dyDescent="0.25">
      <c r="A12" s="1" t="s">
        <v>69</v>
      </c>
      <c r="B12">
        <v>12</v>
      </c>
      <c r="C12">
        <v>4</v>
      </c>
      <c r="D12">
        <v>0</v>
      </c>
      <c r="E12">
        <v>2</v>
      </c>
      <c r="F12">
        <f t="shared" si="0"/>
        <v>12</v>
      </c>
      <c r="G12">
        <f t="shared" si="1"/>
        <v>0.33333333333333331</v>
      </c>
      <c r="J12" t="s">
        <v>49</v>
      </c>
      <c r="L12" t="s">
        <v>50</v>
      </c>
      <c r="N12" t="s">
        <v>77</v>
      </c>
      <c r="P12" t="s">
        <v>78</v>
      </c>
    </row>
    <row r="13" spans="1:16" ht="15.75" x14ac:dyDescent="0.25">
      <c r="A13" s="1" t="s">
        <v>70</v>
      </c>
      <c r="B13">
        <v>15</v>
      </c>
      <c r="C13">
        <v>10</v>
      </c>
      <c r="D13">
        <v>0</v>
      </c>
      <c r="E13">
        <v>0</v>
      </c>
      <c r="F13">
        <f t="shared" si="0"/>
        <v>15</v>
      </c>
      <c r="G13">
        <f t="shared" si="1"/>
        <v>0.66666666666666663</v>
      </c>
      <c r="J13">
        <v>51</v>
      </c>
      <c r="K13" t="s">
        <v>58</v>
      </c>
      <c r="L13">
        <v>7</v>
      </c>
      <c r="M13" t="s">
        <v>55</v>
      </c>
      <c r="O13" t="s">
        <v>79</v>
      </c>
      <c r="P13">
        <v>7</v>
      </c>
    </row>
    <row r="14" spans="1:16" ht="15.75" x14ac:dyDescent="0.25">
      <c r="A14" s="1" t="s">
        <v>71</v>
      </c>
      <c r="B14">
        <v>14</v>
      </c>
      <c r="C14">
        <v>2</v>
      </c>
      <c r="D14">
        <v>0</v>
      </c>
      <c r="E14">
        <v>7</v>
      </c>
      <c r="F14">
        <f t="shared" si="0"/>
        <v>14</v>
      </c>
      <c r="G14">
        <f t="shared" si="1"/>
        <v>0.14285714285714285</v>
      </c>
      <c r="J14" t="s">
        <v>75</v>
      </c>
      <c r="L14" t="s">
        <v>76</v>
      </c>
    </row>
    <row r="15" spans="1:16" ht="15.75" x14ac:dyDescent="0.25">
      <c r="A15" s="1" t="s">
        <v>72</v>
      </c>
      <c r="B15">
        <v>15</v>
      </c>
      <c r="C15">
        <v>6</v>
      </c>
      <c r="D15">
        <v>0</v>
      </c>
      <c r="E15">
        <v>2</v>
      </c>
      <c r="F15">
        <f t="shared" si="0"/>
        <v>15</v>
      </c>
      <c r="G15">
        <f t="shared" si="1"/>
        <v>0.4</v>
      </c>
      <c r="I15" t="s">
        <v>53</v>
      </c>
      <c r="J15">
        <v>21</v>
      </c>
      <c r="K15" t="s">
        <v>80</v>
      </c>
      <c r="L15">
        <v>24</v>
      </c>
    </row>
    <row r="16" spans="1:16" ht="15.75" x14ac:dyDescent="0.25">
      <c r="A16" s="1" t="s">
        <v>73</v>
      </c>
      <c r="B16">
        <v>13</v>
      </c>
      <c r="C16">
        <v>6</v>
      </c>
      <c r="D16">
        <v>0</v>
      </c>
      <c r="E16">
        <v>5</v>
      </c>
      <c r="F16">
        <f t="shared" si="0"/>
        <v>13</v>
      </c>
      <c r="G16">
        <f t="shared" si="1"/>
        <v>0.46153846153846156</v>
      </c>
    </row>
    <row r="17" spans="1:7" ht="15.75" x14ac:dyDescent="0.25">
      <c r="A17" s="1" t="s">
        <v>74</v>
      </c>
      <c r="B17">
        <v>15</v>
      </c>
      <c r="C17">
        <v>11</v>
      </c>
      <c r="D17">
        <v>0</v>
      </c>
      <c r="E17">
        <v>0</v>
      </c>
      <c r="F17">
        <f t="shared" si="0"/>
        <v>15</v>
      </c>
      <c r="G17">
        <f t="shared" si="1"/>
        <v>0.73333333333333328</v>
      </c>
    </row>
    <row r="20" spans="1:7" x14ac:dyDescent="0.25">
      <c r="E20" t="s">
        <v>83</v>
      </c>
      <c r="F20" t="s">
        <v>84</v>
      </c>
    </row>
    <row r="22" spans="1:7" x14ac:dyDescent="0.25">
      <c r="E22" t="s">
        <v>81</v>
      </c>
      <c r="F22" t="s">
        <v>82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 Geier</dc:creator>
  <cp:lastModifiedBy>Carolin Geier</cp:lastModifiedBy>
  <dcterms:created xsi:type="dcterms:W3CDTF">2026-03-10T08:59:52Z</dcterms:created>
  <dcterms:modified xsi:type="dcterms:W3CDTF">2026-03-12T12:13:38Z</dcterms:modified>
</cp:coreProperties>
</file>